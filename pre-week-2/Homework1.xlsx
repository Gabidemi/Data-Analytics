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7267E131-22D3-42A2-B6B4-A07A1562A43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1" l="1"/>
  <c r="H9" i="1"/>
  <c r="G6" i="1"/>
  <c r="G3" i="1"/>
  <c r="G4" i="1"/>
  <c r="G5" i="1"/>
</calcChain>
</file>

<file path=xl/sharedStrings.xml><?xml version="1.0" encoding="utf-8"?>
<sst xmlns="http://schemas.openxmlformats.org/spreadsheetml/2006/main" count="23" uniqueCount="23">
  <si>
    <t>Store</t>
  </si>
  <si>
    <t>Monthly Sales</t>
  </si>
  <si>
    <t>Store A</t>
  </si>
  <si>
    <t>Store B</t>
  </si>
  <si>
    <t>Mean</t>
  </si>
  <si>
    <t>Store C</t>
  </si>
  <si>
    <t>Median</t>
  </si>
  <si>
    <t>Store D</t>
  </si>
  <si>
    <t>Mode</t>
  </si>
  <si>
    <t>Store E</t>
  </si>
  <si>
    <t>Range</t>
  </si>
  <si>
    <t>Store F</t>
  </si>
  <si>
    <t>Store G</t>
  </si>
  <si>
    <t>Store H</t>
  </si>
  <si>
    <t>Standard Deviation 1</t>
  </si>
  <si>
    <t>Store I</t>
  </si>
  <si>
    <t>Store J</t>
  </si>
  <si>
    <t>Standard Deviation 2</t>
  </si>
  <si>
    <t>Store K</t>
  </si>
  <si>
    <t>Store L</t>
  </si>
  <si>
    <t>The Overall average performance was around 49.42 when looking at all 12 stores. The stores were also tightly grouped</t>
  </si>
  <si>
    <t xml:space="preserve">. The standard deviation for the first round of results was 7.63 </t>
  </si>
  <si>
    <t>with the inclusion of Store H being at 72. With the exclusion however, it was reduced to 2.91, showing that Store H significantly inflated/influenced the results, but the other stores with the exclusions performed consistently.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</si>
</sst>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L12" sqref="L12"/>
    </sheetView>
  </sheetViews>
  <sheetFormatPr defaultRowHeight="15"/>
  <sheetData>
    <row r="1" spans="1:8">
      <c r="A1" t="s">
        <v>0</v>
      </c>
      <c r="B1" t="s">
        <v>1</v>
      </c>
    </row>
    <row r="2" spans="1:8">
      <c r="A2" t="s">
        <v>2</v>
      </c>
      <c r="B2">
        <v>51</v>
      </c>
    </row>
    <row r="3" spans="1:8">
      <c r="A3" t="s">
        <v>3</v>
      </c>
      <c r="B3">
        <v>44</v>
      </c>
      <c r="F3" t="s">
        <v>4</v>
      </c>
      <c r="G3">
        <f>AVERAGE(B2:B13)</f>
        <v>49.416666666666664</v>
      </c>
    </row>
    <row r="4" spans="1:8">
      <c r="A4" t="s">
        <v>5</v>
      </c>
      <c r="B4">
        <v>49</v>
      </c>
      <c r="F4" t="s">
        <v>6</v>
      </c>
      <c r="G4">
        <f>MEDIAN(B2:B13)</f>
        <v>47.5</v>
      </c>
    </row>
    <row r="5" spans="1:8">
      <c r="A5" t="s">
        <v>7</v>
      </c>
      <c r="B5">
        <v>46</v>
      </c>
      <c r="F5" t="s">
        <v>8</v>
      </c>
      <c r="G5">
        <f>_xlfn.MODE.SNGL(B2:B13)</f>
        <v>46</v>
      </c>
    </row>
    <row r="6" spans="1:8">
      <c r="A6" t="s">
        <v>9</v>
      </c>
      <c r="B6">
        <v>52</v>
      </c>
      <c r="F6" t="s">
        <v>10</v>
      </c>
      <c r="G6">
        <f>MAX(B2:B13)-MIN(B2:B13)</f>
        <v>29</v>
      </c>
    </row>
    <row r="7" spans="1:8">
      <c r="A7" t="s">
        <v>11</v>
      </c>
      <c r="B7">
        <v>47</v>
      </c>
    </row>
    <row r="8" spans="1:8">
      <c r="A8" t="s">
        <v>12</v>
      </c>
      <c r="B8">
        <v>45</v>
      </c>
    </row>
    <row r="9" spans="1:8">
      <c r="A9" t="s">
        <v>13</v>
      </c>
      <c r="B9">
        <v>72</v>
      </c>
      <c r="F9" t="s">
        <v>14</v>
      </c>
      <c r="H9">
        <f>_xlfn.STDEV.S(B2:B13)</f>
        <v>7.6331613054586773</v>
      </c>
    </row>
    <row r="10" spans="1:8">
      <c r="A10" t="s">
        <v>15</v>
      </c>
      <c r="B10">
        <v>43</v>
      </c>
    </row>
    <row r="11" spans="1:8">
      <c r="A11" t="s">
        <v>16</v>
      </c>
      <c r="B11">
        <v>48</v>
      </c>
      <c r="F11" t="s">
        <v>17</v>
      </c>
      <c r="H11">
        <f>_xlfn.STDEV.S(B2:B8, B10:B13)</f>
        <v>2.9076701075853588</v>
      </c>
    </row>
    <row r="12" spans="1:8">
      <c r="A12" t="s">
        <v>18</v>
      </c>
      <c r="B12">
        <v>46</v>
      </c>
    </row>
    <row r="13" spans="1:8">
      <c r="A13" t="s">
        <v>19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05A5-7C46-4EBC-890C-EFE95F41B392}">
  <dimension ref="A1:L2"/>
  <sheetViews>
    <sheetView tabSelected="1" workbookViewId="0">
      <selection activeCell="E2" sqref="E2"/>
    </sheetView>
  </sheetViews>
  <sheetFormatPr defaultRowHeight="15"/>
  <sheetData>
    <row r="1" spans="1:12">
      <c r="A1" t="s">
        <v>20</v>
      </c>
      <c r="L1" t="s">
        <v>21</v>
      </c>
    </row>
    <row r="2" spans="1:12">
      <c r="A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2026-10-01T14:07:32Z</dcterms:created>
  <dcterms:modified xsi:type="dcterms:W3CDTF">2026-10-02T00:19:04Z</dcterms:modified>
  <cp:category/>
  <cp:contentStatus/>
</cp:coreProperties>
</file>