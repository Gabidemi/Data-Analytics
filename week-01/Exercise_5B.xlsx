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bola\Downloads\"/>
    </mc:Choice>
  </mc:AlternateContent>
  <xr:revisionPtr revIDLastSave="0" documentId="8_{4B12F364-AAF1-4453-B5AB-08C80E3ACBA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ustomer rewards" sheetId="2" r:id="rId1"/>
    <sheet name="Friend Recommendations" sheetId="3" r:id="rId2"/>
    <sheet name="Reward preferences" sheetId="4" r:id="rId3"/>
    <sheet name="Exercise_5B" sheetId="1" r:id="rId4"/>
  </sheets>
  <calcPr calcId="191028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J9" i="1"/>
  <c r="M9" i="1"/>
  <c r="N9" i="1"/>
  <c r="L9" i="1"/>
  <c r="K9" i="1"/>
  <c r="I9" i="1"/>
  <c r="H9" i="1"/>
  <c r="D9" i="1"/>
  <c r="D2" i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<sst xmlns="http://schemas.openxmlformats.org/spreadsheetml/2006/main" count="85" uniqueCount="41">
  <si>
    <t>Id</t>
  </si>
  <si>
    <t>Start time</t>
  </si>
  <si>
    <t>Completion time</t>
  </si>
  <si>
    <t>Time to Complete</t>
  </si>
  <si>
    <t>Email</t>
  </si>
  <si>
    <t>Name</t>
  </si>
  <si>
    <t>How often do you Visit Cuisine &amp; Reverie?</t>
  </si>
  <si>
    <t>How would you rate the food and drink quality of your most recent visit?</t>
  </si>
  <si>
    <t>How would you rate the customer service of your most recent visit?</t>
  </si>
  <si>
    <t>How do you feel about the price value of our products?</t>
  </si>
  <si>
    <t>How likely are you to recommend Cuisine &amp; Reverie to a friend?</t>
  </si>
  <si>
    <t>Which type of reward would make you visit more often?</t>
  </si>
  <si>
    <t>How many visits would feel reasonable before earning a reward? </t>
  </si>
  <si>
    <t>How would you prefer to track your rewards?</t>
  </si>
  <si>
    <t>Is there anything else you’d like us to know or any perk you’d love to see?</t>
  </si>
  <si>
    <t>anonymous</t>
  </si>
  <si>
    <t>First Time</t>
  </si>
  <si>
    <t>Great Value</t>
  </si>
  <si>
    <t>Very likely</t>
  </si>
  <si>
    <t>$50 Complimentary store gift card</t>
  </si>
  <si>
    <t>10 Visits</t>
  </si>
  <si>
    <t>Phone</t>
  </si>
  <si>
    <t>I'd like to see pasta on the menu! Also, I really would love a reward that includes a free appetizer? It'd give a lot of diversity and sampling for the rest of the menu!</t>
  </si>
  <si>
    <t>A few times a year</t>
  </si>
  <si>
    <t>Good Value</t>
  </si>
  <si>
    <t>Neither likely nor unlikely</t>
  </si>
  <si>
    <t>20% Discounts on your first 2 orders of the week</t>
  </si>
  <si>
    <t>Mobile App</t>
  </si>
  <si>
    <t>I love the food such a great establishment, but the waiter Dylan is rude and hard at listening. I said no onions and had an allergic reaction good thing my epi was on standby and when I recovered he just stared and said "Good way to be dramatic. Just say you dont like onions." I told him 8x no onions. But it still taste good though</t>
  </si>
  <si>
    <t>Weekly</t>
  </si>
  <si>
    <t>Somewhat likely</t>
  </si>
  <si>
    <t>Fair Value</t>
  </si>
  <si>
    <t>I'd like to be rewarded a free appetizer at some point!</t>
  </si>
  <si>
    <t>Free items after a certain number of visits</t>
  </si>
  <si>
    <t>If you can open the restaurant earlier, that would be great!</t>
  </si>
  <si>
    <t>Poor Value</t>
  </si>
  <si>
    <t>Row Labels</t>
  </si>
  <si>
    <t>Grand Total</t>
  </si>
  <si>
    <t>Count of How likely are you to recommend Cuisine &amp; Reverie to a friend?</t>
  </si>
  <si>
    <t>Count of Which type of reward would make you visit more often?</t>
  </si>
  <si>
    <t>Count of How would you prefer to track your rewards?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</si>
</sst>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4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[Exercise_5B.xlsx]Customer rewards!PivotTable1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rewards'!$B$3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rewards'!$A$4:$A$7</c:f>
              <c:strCache>
                <c:ptCount val="3"/>
                <c:pt idx="0">
                  <c:v>$50 Complimentary store gift card</c:v>
                </c:pt>
                <c:pt idx="1">
                  <c:v>20% Discounts on your first 2 orders of the week</c:v>
                </c:pt>
                <c:pt idx="2">
                  <c:v>Free items after a certain number of visits</c:v>
                </c:pt>
              </c:strCache>
            </c:strRef>
          </c:cat>
          <c:val>
            <c:numRef>
              <c:f>'Customer rewards'!$B$4:$B$7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6B-4A9E-93A3-94CDDEE3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896255"/>
        <c:axId val="871538063"/>
      </c:barChart>
      <c:catAx>
        <c:axId val="114189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38063"/>
        <c:crosses val="autoZero"/>
        <c:auto val="1"/>
        <c:lblAlgn val="ctr"/>
        <c:lblOffset val="100"/>
        <c:noMultiLvlLbl val="0"/>
      </c:catAx>
      <c:valAx>
        <c:axId val="8715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89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[Exercise_5B.xlsx]Friend Recommendations!PivotTable2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'Friend Recommendations'!$B$1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'Friend Recommendations'!$A$2:$A$5</c:f>
              <c:strCache>
                <c:ptCount val="3"/>
                <c:pt idx="0">
                  <c:v>Neither likely nor unlikely</c:v>
                </c:pt>
                <c:pt idx="1">
                  <c:v>Somewhat likely</c:v>
                </c:pt>
                <c:pt idx="2">
                  <c:v>Very likely</c:v>
                </c:pt>
              </c:strCache>
            </c:strRef>
          </c:cat>
          <c:val>
            <c:numRef>
              <c:f>'Friend Recommendations'!$B$2:$B$5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0-4BF9-99EF-4F4DB0C072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[Exercise_5B.xlsx]Reward preferences!PivotTable3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'Reward preferences'!$B$1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'Reward preferences'!$A$2:$A$4</c:f>
              <c:strCache>
                <c:ptCount val="2"/>
                <c:pt idx="0">
                  <c:v>Mobile App</c:v>
                </c:pt>
                <c:pt idx="1">
                  <c:v>Phone</c:v>
                </c:pt>
              </c:strCache>
            </c:strRef>
          </c:cat>
          <c:val>
            <c:numRef>
              <c:f>'Reward preferences'!$B$2:$B$4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E-4D76-A3E5-20669BA7A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268111"/>
        <c:axId val="871615343"/>
      </c:barChart>
      <c:catAx>
        <c:axId val="115026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15343"/>
        <c:crosses val="autoZero"/>
        <c:auto val="1"/>
        <c:lblAlgn val="ctr"/>
        <c:lblOffset val="100"/>
        <c:noMultiLvlLbl val="0"/>
      </c:catAx>
      <c:valAx>
        <c:axId val="87161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6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22860</xdr:rowOff>
    </xdr:from>
    <xdr:to>
      <xdr:col>2</xdr:col>
      <xdr:colOff>426720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D206F-7A50-3C28-7A59-DB021289E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5</xdr:row>
      <xdr:rowOff>0</xdr:rowOff>
    </xdr:from>
    <xdr:to>
      <xdr:col>1</xdr:col>
      <xdr:colOff>3101340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C673B-5446-4EB4-117D-F2C594B26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30480</xdr:rowOff>
    </xdr:from>
    <xdr:to>
      <xdr:col>2</xdr:col>
      <xdr:colOff>441960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17681-5CFC-B78E-8208-90800EAB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bolahan Abidemi" refreshedDate="46311.860430671295" createdVersion="8" refreshedVersion="8" minRefreshableVersion="3" recordCount="7" xr:uid="{9B8524C6-ED62-413E-9CF2-AEB7FEFF36EB}">
  <cacheSource type="worksheet">
    <worksheetSource name="OfficeForms.Table"/>
  </cacheSource>
  <cacheFields count="15">
    <cacheField name="Id" numFmtId="0">
      <sharedItems containsSemiMixedTypes="0" containsString="0" containsNumber="1" containsInteger="1" minValue="1" maxValue="7"/>
    </cacheField>
    <cacheField name="Start time" numFmtId="164">
      <sharedItems containsSemiMixedTypes="0" containsNonDate="0" containsDate="1" containsString="0" minDate="2026-10-15T10:49:17" maxDate="2026-10-16T16:36:39"/>
    </cacheField>
    <cacheField name="Completion time" numFmtId="164">
      <sharedItems containsSemiMixedTypes="0" containsNonDate="0" containsDate="1" containsString="0" minDate="2026-10-15T10:51:03" maxDate="2026-10-16T16:37:40"/>
    </cacheField>
    <cacheField name="Time to Complete" numFmtId="45">
      <sharedItems containsSemiMixedTypes="0" containsNonDate="0" containsDate="1" containsString="0" minDate="1899-12-30T00:01:01" maxDate="1899-12-30T00:48:15"/>
    </cacheField>
    <cacheField name="Email" numFmtId="0">
      <sharedItems/>
    </cacheField>
    <cacheField name="Name" numFmtId="0">
      <sharedItems containsNonDate="0" containsString="0" containsBlank="1"/>
    </cacheField>
    <cacheField name="How often do you Visit Cuisine &amp; Reverie?" numFmtId="0">
      <sharedItems count="3">
        <s v="First Time"/>
        <s v="A few times a year"/>
        <s v="Weekly"/>
      </sharedItems>
    </cacheField>
    <cacheField name="How would you rate the food and drink quality of your most recent visit?" numFmtId="0">
      <sharedItems containsSemiMixedTypes="0" containsString="0" containsNumber="1" containsInteger="1" minValue="4" maxValue="5" count="2">
        <n v="5"/>
        <n v="4"/>
      </sharedItems>
    </cacheField>
    <cacheField name="How would you rate the customer service of your most recent visit?" numFmtId="0">
      <sharedItems containsSemiMixedTypes="0" containsString="0" containsNumber="1" containsInteger="1" minValue="1" maxValue="5"/>
    </cacheField>
    <cacheField name="How do you feel about the price value of our products?" numFmtId="0">
      <sharedItems count="4">
        <s v="Great Value"/>
        <s v="Good Value"/>
        <s v="Fair Value"/>
        <s v="Poor Value"/>
      </sharedItems>
    </cacheField>
    <cacheField name="How likely are you to recommend Cuisine &amp; Reverie to a friend?" numFmtId="0">
      <sharedItems count="3">
        <s v="Very likely"/>
        <s v="Neither likely nor unlikely"/>
        <s v="Somewhat likely"/>
      </sharedItems>
    </cacheField>
    <cacheField name="Which type of reward would make you visit more often?" numFmtId="0">
      <sharedItems count="3">
        <s v="$50 Complimentary store gift card"/>
        <s v="20% Discounts on your first 2 orders of the week"/>
        <s v="Free items after a certain number of visits"/>
      </sharedItems>
    </cacheField>
    <cacheField name="How many visits would feel reasonable before earning a reward? " numFmtId="0">
      <sharedItems count="1">
        <s v="10 Visits"/>
      </sharedItems>
    </cacheField>
    <cacheField name="How would you prefer to track your rewards?" numFmtId="0">
      <sharedItems count="2">
        <s v="Phone"/>
        <s v="Mobile App"/>
      </sharedItems>
    </cacheField>
    <cacheField name="Is there anything else you’d like us to know or any perk you’d love to see?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10-15T10:49:17"/>
    <d v="2026-10-15T10:51:03"/>
    <d v="1899-12-30T00:01:46"/>
    <s v="anonymous"/>
    <m/>
    <x v="0"/>
    <x v="0"/>
    <n v="5"/>
    <x v="0"/>
    <x v="0"/>
    <x v="0"/>
    <x v="0"/>
    <x v="0"/>
    <s v="I'd like to see pasta on the menu! Also, I really would love a reward that includes a free appetizer? It'd give a lot of diversity and sampling for the rest of the menu!"/>
  </r>
  <r>
    <n v="2"/>
    <d v="2026-10-15T11:26:23"/>
    <d v="2026-10-15T11:34:16"/>
    <d v="1899-12-30T00:07:53"/>
    <s v="anonymous"/>
    <m/>
    <x v="1"/>
    <x v="0"/>
    <n v="1"/>
    <x v="1"/>
    <x v="1"/>
    <x v="1"/>
    <x v="0"/>
    <x v="1"/>
    <s v="I love the food such a great establishment, but the waiter Dylan is rude and hard at listening. I said no onions and had an allergic reaction good thing my epi was on standby and when I recovered he just stared and said &quot;Good way to be dramatic. Just say you dont like onions.&quot; I told him 8x no onions. But it still taste good though"/>
  </r>
  <r>
    <n v="3"/>
    <d v="2026-10-15T14:29:35"/>
    <d v="2026-10-15T14:32:06"/>
    <d v="1899-12-30T00:02:31"/>
    <s v="anonymous"/>
    <m/>
    <x v="2"/>
    <x v="0"/>
    <n v="5"/>
    <x v="1"/>
    <x v="2"/>
    <x v="1"/>
    <x v="0"/>
    <x v="0"/>
    <m/>
  </r>
  <r>
    <n v="4"/>
    <d v="2026-10-16T08:04:55"/>
    <d v="2026-10-16T08:53:10"/>
    <d v="1899-12-30T00:48:15"/>
    <s v="anonymous"/>
    <m/>
    <x v="1"/>
    <x v="1"/>
    <n v="4"/>
    <x v="2"/>
    <x v="2"/>
    <x v="1"/>
    <x v="0"/>
    <x v="1"/>
    <s v="I'd like to be rewarded a free appetizer at some point!"/>
  </r>
  <r>
    <n v="5"/>
    <d v="2026-10-16T11:18:25"/>
    <d v="2026-10-16T11:26:44"/>
    <d v="1899-12-30T00:08:19"/>
    <s v="anonymous"/>
    <m/>
    <x v="0"/>
    <x v="1"/>
    <n v="5"/>
    <x v="1"/>
    <x v="2"/>
    <x v="2"/>
    <x v="0"/>
    <x v="0"/>
    <m/>
  </r>
  <r>
    <n v="6"/>
    <d v="2026-10-16T13:26:57"/>
    <d v="2026-10-16T13:28:06"/>
    <d v="1899-12-30T00:01:09"/>
    <s v="anonymous"/>
    <m/>
    <x v="1"/>
    <x v="0"/>
    <n v="5"/>
    <x v="2"/>
    <x v="0"/>
    <x v="0"/>
    <x v="0"/>
    <x v="1"/>
    <s v="If you can open the restaurant earlier, that would be great!"/>
  </r>
  <r>
    <n v="7"/>
    <d v="2026-10-16T16:36:39"/>
    <d v="2026-10-16T16:37:40"/>
    <d v="1899-12-30T00:01:01"/>
    <s v="anonymous"/>
    <m/>
    <x v="0"/>
    <x v="1"/>
    <n v="4"/>
    <x v="3"/>
    <x v="2"/>
    <x v="1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80F81-4933-407D-ADA1-E5B15A35F04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5">
    <pivotField showAll="0"/>
    <pivotField numFmtId="164" showAll="0"/>
    <pivotField numFmtId="164" showAll="0"/>
    <pivotField numFmtId="45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ich type of reward would make you visit more often?" fld="11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3F64B-DF43-4661-B1C1-C0C74E38055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5">
    <pivotField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w likely are you to recommend Cuisine &amp; Reverie to a friend?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0B0B5-F91D-4D70-B342-301E80C5733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5">
    <pivotField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How would you prefer to track your rewards?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9" totalsRowCount="1">
  <autoFilter ref="A1:O8" xr:uid="{00000000-0009-0000-0100-000001000000}"/>
  <tableColumns count="15">
    <tableColumn id="1" xr3:uid="{00000000-0010-0000-0000-000001000000}" name="Id" dataDxfId="2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5" totalsRowDxfId="2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3" totalsRowDxfId="22">
      <extLst>
        <ext xmlns:xlmsforms="http://schemas.microsoft.com/office/spreadsheetml/2023/msForms" uri="{FCC71383-01E1-4257-9335-427F07BE8D7F}">
          <xlmsforms:question id="submitDate"/>
        </ext>
      </extLst>
    </tableColumn>
    <tableColumn id="16" xr3:uid="{05C15D39-F2A7-41B3-8212-FCD79D677D87}" name="Time to Complete" totalsRowFunction="custom" dataDxfId="21" totalsRowDxfId="20">
      <calculatedColumnFormula>C2-B2</calculatedColumnFormula>
      <totalsRowFormula>AVERAGE(D2:D8)</totalsRowFormula>
    </tableColumn>
    <tableColumn id="4" xr3:uid="{00000000-0010-0000-0000-000004000000}" name="Email" dataDxfId="19" totalsRow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 totalsRow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Cuisine &amp; Reverie?" totalsRowFunction="custom" dataDxfId="15" totalsRowDxfId="14">
      <totalsRowFormula>COUNTIF(G2:G8,"A few times a year")</totalsRowFormula>
      <extLst>
        <ext xmlns:xlmsforms="http://schemas.microsoft.com/office/spreadsheetml/2023/msForms" uri="{FCC71383-01E1-4257-9335-427F07BE8D7F}">
          <xlmsforms:question id="r1596f4d17c544ce69fab7bdf1c0e3867"/>
        </ext>
      </extLst>
    </tableColumn>
    <tableColumn id="7" xr3:uid="{00000000-0010-0000-0000-000007000000}" name="How would you rate the food and drink quality of your most recent visit?" totalsRowFunction="custom" dataDxfId="13">
      <totalsRowFormula>AVERAGE(H2:H8)</totalsRowFormula>
      <extLst>
        <ext xmlns:xlmsforms="http://schemas.microsoft.com/office/spreadsheetml/2023/msForms" uri="{FCC71383-01E1-4257-9335-427F07BE8D7F}">
          <xlmsforms:question id="r1e720c725979490c8c81a3a6dd8b749b"/>
        </ext>
      </extLst>
    </tableColumn>
    <tableColumn id="8" xr3:uid="{00000000-0010-0000-0000-000008000000}" name="How would you rate the customer service of your most recent visit?" totalsRowFunction="custom" dataDxfId="12">
      <totalsRowFormula>AVERAGE(I2:I8)</totalsRowFormula>
      <extLst>
        <ext xmlns:xlmsforms="http://schemas.microsoft.com/office/spreadsheetml/2023/msForms" uri="{FCC71383-01E1-4257-9335-427F07BE8D7F}">
          <xlmsforms:question id="r10d3c51bd4c748a2b4c418cff667c863"/>
        </ext>
      </extLst>
    </tableColumn>
    <tableColumn id="9" xr3:uid="{00000000-0010-0000-0000-000009000000}" name="How do you feel about the price value of our products?" totalsRowFunction="custom" dataDxfId="11" totalsRowDxfId="10">
      <totalsRowFormula>COUNTIF(J2:J8,"Good Value")</totalsRowFormula>
      <extLst>
        <ext xmlns:xlmsforms="http://schemas.microsoft.com/office/spreadsheetml/2023/msForms" uri="{FCC71383-01E1-4257-9335-427F07BE8D7F}">
          <xlmsforms:question id="rf5b414ffc8cb41f1804599f8ba408eb1"/>
        </ext>
      </extLst>
    </tableColumn>
    <tableColumn id="10" xr3:uid="{00000000-0010-0000-0000-00000A000000}" name="How likely are you to recommend Cuisine &amp; Reverie to a friend?" totalsRowFunction="custom" dataDxfId="9" totalsRowDxfId="8">
      <totalsRowFormula>COUNTIF(K2:K8,"Somewhat likely")</totalsRowFormula>
      <extLst>
        <ext xmlns:xlmsforms="http://schemas.microsoft.com/office/spreadsheetml/2023/msForms" uri="{FCC71383-01E1-4257-9335-427F07BE8D7F}">
          <xlmsforms:question id="rf2b73ec4f25b46588f7ec1aaec54cec3"/>
        </ext>
      </extLst>
    </tableColumn>
    <tableColumn id="11" xr3:uid="{00000000-0010-0000-0000-00000B000000}" name="Which type of reward would make you visit more often?" totalsRowFunction="custom" dataDxfId="7" totalsRowDxfId="6">
      <totalsRowFormula>COUNTIF(L2:L8,"20% Discounts on your first 2 orders of the week")</totalsRowFormula>
      <extLst>
        <ext xmlns:xlmsforms="http://schemas.microsoft.com/office/spreadsheetml/2023/msForms" uri="{FCC71383-01E1-4257-9335-427F07BE8D7F}">
          <xlmsforms:question id="re0c06c7ff2a146408071184f1f44c90f"/>
        </ext>
      </extLst>
    </tableColumn>
    <tableColumn id="12" xr3:uid="{00000000-0010-0000-0000-00000C000000}" name="How many visits would feel reasonable before earning a reward? " totalsRowFunction="custom" dataDxfId="5" totalsRowDxfId="4">
      <totalsRowFormula>COUNTIF(M2:M8,"10 Visits")</totalsRowFormula>
      <extLst>
        <ext xmlns:xlmsforms="http://schemas.microsoft.com/office/spreadsheetml/2023/msForms" uri="{FCC71383-01E1-4257-9335-427F07BE8D7F}">
          <xlmsforms:question id="r134cba18ced74d92aa68161ce6c7f681"/>
        </ext>
      </extLst>
    </tableColumn>
    <tableColumn id="13" xr3:uid="{00000000-0010-0000-0000-00000D000000}" name="How would you prefer to track your rewards?" totalsRowFunction="custom" dataDxfId="3" totalsRowDxfId="2">
      <totalsRowFormula>COUNTIF(N2:N8,"Phone")</totalsRowFormula>
      <extLst>
        <ext xmlns:xlmsforms="http://schemas.microsoft.com/office/spreadsheetml/2023/msForms" uri="{FCC71383-01E1-4257-9335-427F07BE8D7F}">
          <xlmsforms:question id="r4f7644e50c9f470bb2ecf5884bea48ec"/>
        </ext>
      </extLst>
    </tableColumn>
    <tableColumn id="14" xr3:uid="{00000000-0010-0000-0000-00000E000000}" name="Is there anything else you’d like us to know or any perk you’d love to see?" dataDxfId="1" totalsRowDxfId="0">
      <extLst>
        <ext xmlns:xlmsforms="http://schemas.microsoft.com/office/spreadsheetml/2023/msForms" uri="{FCC71383-01E1-4257-9335-427F07BE8D7F}">
          <xlmsforms:question id="r53bfd88757ca4a68a383d4c4d6c38b0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7xANYa8thxBoZa6eM9s4alUQ0FVVUVXQk4xUFpYMkRKMjRWVEY0RzQxWS4u" isFormConnected="1" maxResponseId="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r1596f4d17c544ce69fab7bdf1c0e3867</xlmsforms:syncedQuestionId>
        <xlmsforms:syncedQuestionId>r1e720c725979490c8c81a3a6dd8b749b</xlmsforms:syncedQuestionId>
        <xlmsforms:syncedQuestionId>r10d3c51bd4c748a2b4c418cff667c863</xlmsforms:syncedQuestionId>
        <xlmsforms:syncedQuestionId>rf5b414ffc8cb41f1804599f8ba408eb1</xlmsforms:syncedQuestionId>
        <xlmsforms:syncedQuestionId>rf2b73ec4f25b46588f7ec1aaec54cec3</xlmsforms:syncedQuestionId>
        <xlmsforms:syncedQuestionId>re0c06c7ff2a146408071184f1f44c90f</xlmsforms:syncedQuestionId>
        <xlmsforms:syncedQuestionId>r134cba18ced74d92aa68161ce6c7f681</xlmsforms:syncedQuestionId>
        <xlmsforms:syncedQuestionId>r4f7644e50c9f470bb2ecf5884bea48ec</xlmsforms:syncedQuestionId>
        <xlmsforms:syncedQuestionId>r53bfd88757ca4a68a383d4c4d6c38b08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6D58-4517-4374-A698-9798A2C77E80}">
  <dimension ref="A3:B7"/>
  <sheetViews>
    <sheetView workbookViewId="0">
      <selection activeCell="C11" sqref="C11"/>
    </sheetView>
  </sheetViews>
  <sheetFormatPr defaultRowHeight="14.4" x14ac:dyDescent="0.3"/>
  <cols>
    <col min="1" max="1" width="41.109375" bestFit="1" customWidth="1"/>
    <col min="2" max="3" width="57.109375" bestFit="1" customWidth="1"/>
    <col min="4" max="4" width="44.6640625" bestFit="1" customWidth="1"/>
  </cols>
  <sheetData>
    <row r="3" spans="1:2" x14ac:dyDescent="0.3">
      <c r="A3" s="5" t="s">
        <v>36</v>
      </c>
      <c r="B3" t="s">
        <v>39</v>
      </c>
    </row>
    <row r="4" spans="1:2" x14ac:dyDescent="0.3">
      <c r="A4" s="6" t="s">
        <v>19</v>
      </c>
      <c r="B4" s="7">
        <v>2</v>
      </c>
    </row>
    <row r="5" spans="1:2" x14ac:dyDescent="0.3">
      <c r="A5" s="6" t="s">
        <v>26</v>
      </c>
      <c r="B5" s="7">
        <v>4</v>
      </c>
    </row>
    <row r="6" spans="1:2" x14ac:dyDescent="0.3">
      <c r="A6" s="6" t="s">
        <v>33</v>
      </c>
      <c r="B6" s="7">
        <v>1</v>
      </c>
    </row>
    <row r="7" spans="1:2" x14ac:dyDescent="0.3">
      <c r="A7" s="6" t="s">
        <v>37</v>
      </c>
      <c r="B7" s="7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4FB8-FCA1-429C-829D-194C98349A80}">
  <dimension ref="A1:B5"/>
  <sheetViews>
    <sheetView workbookViewId="0">
      <selection activeCell="F10" sqref="F10"/>
    </sheetView>
  </sheetViews>
  <sheetFormatPr defaultRowHeight="14.4" x14ac:dyDescent="0.3"/>
  <cols>
    <col min="1" max="1" width="21.77734375" bestFit="1" customWidth="1"/>
    <col min="2" max="2" width="63.44140625" bestFit="1" customWidth="1"/>
  </cols>
  <sheetData>
    <row r="1" spans="1:2" x14ac:dyDescent="0.3">
      <c r="A1" s="5" t="s">
        <v>36</v>
      </c>
      <c r="B1" t="s">
        <v>38</v>
      </c>
    </row>
    <row r="2" spans="1:2" x14ac:dyDescent="0.3">
      <c r="A2" s="6" t="s">
        <v>25</v>
      </c>
      <c r="B2" s="7">
        <v>1</v>
      </c>
    </row>
    <row r="3" spans="1:2" x14ac:dyDescent="0.3">
      <c r="A3" s="6" t="s">
        <v>30</v>
      </c>
      <c r="B3" s="7">
        <v>4</v>
      </c>
    </row>
    <row r="4" spans="1:2" x14ac:dyDescent="0.3">
      <c r="A4" s="6" t="s">
        <v>18</v>
      </c>
      <c r="B4" s="7">
        <v>2</v>
      </c>
    </row>
    <row r="5" spans="1:2" x14ac:dyDescent="0.3">
      <c r="A5" s="6" t="s">
        <v>37</v>
      </c>
      <c r="B5" s="7">
        <v>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D441-92E2-4285-BF24-F2ECDF9125D6}">
  <dimension ref="A1:B4"/>
  <sheetViews>
    <sheetView workbookViewId="0"/>
  </sheetViews>
  <sheetFormatPr defaultRowHeight="14.4" x14ac:dyDescent="0.3"/>
  <cols>
    <col min="1" max="1" width="12.5546875" bestFit="1" customWidth="1"/>
    <col min="2" max="2" width="47.6640625" bestFit="1" customWidth="1"/>
  </cols>
  <sheetData>
    <row r="1" spans="1:2" x14ac:dyDescent="0.3">
      <c r="A1" s="5" t="s">
        <v>36</v>
      </c>
      <c r="B1" t="s">
        <v>40</v>
      </c>
    </row>
    <row r="2" spans="1:2" x14ac:dyDescent="0.3">
      <c r="A2" s="6" t="s">
        <v>27</v>
      </c>
      <c r="B2" s="7">
        <v>3</v>
      </c>
    </row>
    <row r="3" spans="1:2" x14ac:dyDescent="0.3">
      <c r="A3" s="6" t="s">
        <v>21</v>
      </c>
      <c r="B3" s="7">
        <v>4</v>
      </c>
    </row>
    <row r="4" spans="1:2" x14ac:dyDescent="0.3">
      <c r="A4" s="6" t="s">
        <v>37</v>
      </c>
      <c r="B4" s="7">
        <v>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4" sqref="A4:O4"/>
    </sheetView>
  </sheetViews>
  <sheetFormatPr defaultRowHeight="14.4" x14ac:dyDescent="0.3"/>
  <cols>
    <col min="1" max="3" width="20" bestFit="1" customWidth="1"/>
    <col min="4" max="4" width="20" customWidth="1"/>
    <col min="5" max="15" width="20" bestFit="1" customWidth="1"/>
  </cols>
  <sheetData>
    <row r="1" spans="1:15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2">
        <v>46310.450891203705</v>
      </c>
      <c r="C2" s="2">
        <v>46310.452118055553</v>
      </c>
      <c r="D2" s="3">
        <f t="shared" ref="D2:D8" si="0">C2-B2</f>
        <v>1.2268518476048484E-3</v>
      </c>
      <c r="E2" t="s">
        <v>15</v>
      </c>
      <c r="G2" t="s">
        <v>16</v>
      </c>
      <c r="H2">
        <v>5</v>
      </c>
      <c r="I2">
        <v>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">
      <c r="A3">
        <v>2</v>
      </c>
      <c r="B3" s="2">
        <v>46310.476655092592</v>
      </c>
      <c r="C3" s="2">
        <v>46310.482129629629</v>
      </c>
      <c r="D3" s="3">
        <f t="shared" si="0"/>
        <v>5.4745370362070389E-3</v>
      </c>
      <c r="E3" t="s">
        <v>15</v>
      </c>
      <c r="G3" t="s">
        <v>23</v>
      </c>
      <c r="H3">
        <v>5</v>
      </c>
      <c r="I3">
        <v>1</v>
      </c>
      <c r="J3" t="s">
        <v>24</v>
      </c>
      <c r="K3" t="s">
        <v>25</v>
      </c>
      <c r="L3" t="s">
        <v>26</v>
      </c>
      <c r="M3" t="s">
        <v>20</v>
      </c>
      <c r="N3" t="s">
        <v>27</v>
      </c>
      <c r="O3" t="s">
        <v>28</v>
      </c>
    </row>
    <row r="4" spans="1:15" x14ac:dyDescent="0.3">
      <c r="A4">
        <v>3</v>
      </c>
      <c r="B4" s="2">
        <v>46310.603877314818</v>
      </c>
      <c r="C4" s="2">
        <v>46310.605624999997</v>
      </c>
      <c r="D4" s="3">
        <f t="shared" si="0"/>
        <v>1.7476851789979264E-3</v>
      </c>
      <c r="E4" t="s">
        <v>15</v>
      </c>
      <c r="G4" t="s">
        <v>29</v>
      </c>
      <c r="H4">
        <v>5</v>
      </c>
      <c r="I4">
        <v>5</v>
      </c>
      <c r="J4" t="s">
        <v>24</v>
      </c>
      <c r="K4" t="s">
        <v>30</v>
      </c>
      <c r="L4" t="s">
        <v>26</v>
      </c>
      <c r="M4" t="s">
        <v>20</v>
      </c>
      <c r="N4" t="s">
        <v>21</v>
      </c>
    </row>
    <row r="5" spans="1:15" x14ac:dyDescent="0.3">
      <c r="A5">
        <v>4</v>
      </c>
      <c r="B5" s="2">
        <v>46311.336747685185</v>
      </c>
      <c r="C5" s="2">
        <v>46311.370254629626</v>
      </c>
      <c r="D5" s="3">
        <f t="shared" si="0"/>
        <v>3.350694444088731E-2</v>
      </c>
      <c r="E5" t="s">
        <v>15</v>
      </c>
      <c r="G5" t="s">
        <v>23</v>
      </c>
      <c r="H5">
        <v>4</v>
      </c>
      <c r="I5">
        <v>4</v>
      </c>
      <c r="J5" t="s">
        <v>31</v>
      </c>
      <c r="K5" t="s">
        <v>30</v>
      </c>
      <c r="L5" t="s">
        <v>26</v>
      </c>
      <c r="M5" t="s">
        <v>20</v>
      </c>
      <c r="N5" t="s">
        <v>27</v>
      </c>
      <c r="O5" t="s">
        <v>32</v>
      </c>
    </row>
    <row r="6" spans="1:15" x14ac:dyDescent="0.3">
      <c r="A6">
        <v>5</v>
      </c>
      <c r="B6" s="2">
        <v>46311.471122685187</v>
      </c>
      <c r="C6" s="2">
        <v>46311.476898148147</v>
      </c>
      <c r="D6" s="3">
        <f t="shared" si="0"/>
        <v>5.7754629597184248E-3</v>
      </c>
      <c r="E6" t="s">
        <v>15</v>
      </c>
      <c r="G6" t="s">
        <v>16</v>
      </c>
      <c r="H6">
        <v>4</v>
      </c>
      <c r="I6">
        <v>5</v>
      </c>
      <c r="J6" t="s">
        <v>24</v>
      </c>
      <c r="K6" t="s">
        <v>30</v>
      </c>
      <c r="L6" t="s">
        <v>33</v>
      </c>
      <c r="M6" t="s">
        <v>20</v>
      </c>
      <c r="N6" t="s">
        <v>21</v>
      </c>
    </row>
    <row r="7" spans="1:15" x14ac:dyDescent="0.3">
      <c r="A7">
        <v>6</v>
      </c>
      <c r="B7" s="2">
        <v>46311.560381944444</v>
      </c>
      <c r="C7" s="2">
        <v>46311.561180555553</v>
      </c>
      <c r="D7" s="3">
        <f t="shared" si="0"/>
        <v>7.9861110862111673E-4</v>
      </c>
      <c r="E7" t="s">
        <v>15</v>
      </c>
      <c r="G7" t="s">
        <v>23</v>
      </c>
      <c r="H7">
        <v>5</v>
      </c>
      <c r="I7">
        <v>5</v>
      </c>
      <c r="J7" t="s">
        <v>31</v>
      </c>
      <c r="K7" t="s">
        <v>18</v>
      </c>
      <c r="L7" t="s">
        <v>19</v>
      </c>
      <c r="M7" t="s">
        <v>20</v>
      </c>
      <c r="N7" t="s">
        <v>27</v>
      </c>
      <c r="O7" t="s">
        <v>34</v>
      </c>
    </row>
    <row r="8" spans="1:15" x14ac:dyDescent="0.3">
      <c r="A8">
        <v>7</v>
      </c>
      <c r="B8" s="2">
        <v>46311.692118055558</v>
      </c>
      <c r="C8" s="2">
        <v>46311.692824074074</v>
      </c>
      <c r="D8" s="3">
        <f t="shared" si="0"/>
        <v>7.0601851621177047E-4</v>
      </c>
      <c r="E8" t="s">
        <v>15</v>
      </c>
      <c r="G8" t="s">
        <v>16</v>
      </c>
      <c r="H8">
        <v>4</v>
      </c>
      <c r="I8">
        <v>4</v>
      </c>
      <c r="J8" t="s">
        <v>35</v>
      </c>
      <c r="K8" t="s">
        <v>30</v>
      </c>
      <c r="L8" t="s">
        <v>26</v>
      </c>
      <c r="M8" t="s">
        <v>20</v>
      </c>
      <c r="N8" t="s">
        <v>21</v>
      </c>
    </row>
    <row r="9" spans="1:15" x14ac:dyDescent="0.3">
      <c r="B9" s="2"/>
      <c r="C9" s="2"/>
      <c r="D9" s="3">
        <f>AVERAGE(D2:D8)</f>
        <v>7.033730155464062E-3</v>
      </c>
      <c r="E9" s="1"/>
      <c r="F9" s="1"/>
      <c r="G9">
        <f>COUNTIF(G2:G8,"A few times a year")</f>
        <v>3</v>
      </c>
      <c r="H9">
        <f>AVERAGE(H2:H8)</f>
        <v>4.5714285714285712</v>
      </c>
      <c r="I9">
        <f>AVERAGE(I2:I8)</f>
        <v>4.1428571428571432</v>
      </c>
      <c r="J9">
        <f>COUNTIF(J2:J8,"Good Value")</f>
        <v>3</v>
      </c>
      <c r="K9" s="4">
        <f>COUNTIF(K2:K8,"Somewhat likely")</f>
        <v>4</v>
      </c>
      <c r="L9">
        <f>COUNTIF(L2:L8,"20% Discounts on your first 2 orders of the week")</f>
        <v>4</v>
      </c>
      <c r="M9">
        <f>COUNTIF(M2:M8,"10 Visits")</f>
        <v>7</v>
      </c>
      <c r="N9">
        <f>COUNTIF(N2:N8,"Phone")</f>
        <v>4</v>
      </c>
      <c r="O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rewards</vt:lpstr>
      <vt:lpstr>Friend Recommendations</vt:lpstr>
      <vt:lpstr>Reward preferences</vt:lpstr>
      <vt:lpstr>Exercise_5B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gbolahan abidemi</cp:lastModifiedBy>
  <cp:revision/>
  <dcterms:created xsi:type="dcterms:W3CDTF">2026-10-16T21:59:38Z</dcterms:created>
  <dcterms:modified xsi:type="dcterms:W3CDTF">2026-10-17T00:58:20Z</dcterms:modified>
  <cp:category/>
  <cp:contentStatus/>
</cp:coreProperties>
</file>